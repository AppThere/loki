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Fmt" sheetId="1" state="visible" r:id="rId3"/>
    <sheet name="CondFmt" sheetId="2" state="visible" r:id="rId4"/>
    <sheet name="Formulas" sheetId="3" state="visible" r:id="rId5"/>
    <sheet name="Jan" sheetId="4" state="visible" r:id="rId6"/>
    <sheet name="Feb" sheetId="5" state="visible" r:id="rId7"/>
    <sheet name="Mar" sheetId="6" state="visible" r:id="rId8"/>
    <sheet name="Layout" sheetId="7" state="visible" r:id="rId9"/>
    <sheet name="Charts" sheetId="8" state="visible" r:id="rId10"/>
    <sheet name="Misc" sheetId="9" state="visible" r:id="rId11"/>
  </sheets>
  <definedNames>
    <definedName function="false" hidden="false" localSheetId="8" name="_xlnm.Print_Area" vbProcedure="false">Misc!$A$1:$B$17</definedName>
    <definedName function="false" hidden="false" localSheetId="8" name="_xlnm.Print_Titles" vbProcedure="false">Misc!$1:$3</definedName>
    <definedName function="false" hidden="false" name="TaxRate" vbProcedure="false">Misc!$B$16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Threaded-style note.
Author: Reviewer A</t>
        </r>
      </text>
    </comment>
  </commentList>
</comments>
</file>

<file path=xl/sharedStrings.xml><?xml version="1.0" encoding="utf-8"?>
<sst xmlns="http://schemas.openxmlformats.org/spreadsheetml/2006/main" count="73" uniqueCount="67">
  <si>
    <t xml:space="preserve">TC-XLSX-001..004  Number formats</t>
  </si>
  <si>
    <t xml:space="preserve">Case</t>
  </si>
  <si>
    <t xml:space="preserve">Raw</t>
  </si>
  <si>
    <t xml:space="preserve">Formatted</t>
  </si>
  <si>
    <t xml:space="preserve">Format code</t>
  </si>
  <si>
    <t xml:space="preserve">TC-001 4-section pos;neg;zero;text</t>
  </si>
  <si>
    <t xml:space="preserve">#,##0.00;[Red](#,##0.00);"-";"txt: "@</t>
  </si>
  <si>
    <t xml:space="preserve">TC-001 negative</t>
  </si>
  <si>
    <t xml:space="preserve">TC-001 zero</t>
  </si>
  <si>
    <t xml:space="preserve">TC-002 accounting align</t>
  </si>
  <si>
    <t xml:space="preserve">_($* #,##0.00_);_($* (#,##0.00);_($* "-"??_);_(@_)</t>
  </si>
  <si>
    <t xml:space="preserve">TC-002 accounting neg</t>
  </si>
  <si>
    <t xml:space="preserve">TC-003 fraction # ??/??</t>
  </si>
  <si>
    <t xml:space="preserve"># ??/??</t>
  </si>
  <si>
    <t xml:space="preserve">TC-003 scientific</t>
  </si>
  <si>
    <t xml:space="preserve">0.00E+00</t>
  </si>
  <si>
    <t xml:space="preserve">TC-004 locale month [$-409]</t>
  </si>
  <si>
    <t xml:space="preserve">[$-409]mmmm d, yyyy</t>
  </si>
  <si>
    <t xml:space="preserve">TC-004 elapsed [h]:mm</t>
  </si>
  <si>
    <t xml:space="preserve">[h]:mm:ss</t>
  </si>
  <si>
    <t xml:space="preserve">TC-XLSX-005..008/029  Conditional formatting</t>
  </si>
  <si>
    <t xml:space="preserve">ColorScale (3)</t>
  </si>
  <si>
    <t xml:space="preserve">DataBars (+/-)</t>
  </si>
  <si>
    <t xml:space="preserve">IconSet (5)</t>
  </si>
  <si>
    <t xml:space="preserve">FormulaBand+Priority</t>
  </si>
  <si>
    <t xml:space="preserve">TC-XLSX-009..012/022  Dynamic arrays, CSE, modern fns</t>
  </si>
  <si>
    <t xml:space="preserve">TC-009 SEQUENCE spill -&gt;</t>
  </si>
  <si>
    <t xml:space="preserve">TC-009 SORT/UNIQUE -&gt;</t>
  </si>
  <si>
    <t xml:space="preserve">TC-009 FILTER -&gt;</t>
  </si>
  <si>
    <t xml:space="preserve">TC-010 CSE array (SUMPRODUCT equiv)</t>
  </si>
  <si>
    <t xml:space="preserve">TC-011 XLOOKUP</t>
  </si>
  <si>
    <t xml:space="preserve">TC-011 LET</t>
  </si>
  <si>
    <t xml:space="preserve">TC-011 TEXTJOIN</t>
  </si>
  <si>
    <t xml:space="preserve">TC-011 IFS/SWITCH</t>
  </si>
  <si>
    <t xml:space="preserve">TC-022 3-D ref Jan:Mar</t>
  </si>
  <si>
    <t xml:space="preserve">Jan</t>
  </si>
  <si>
    <t xml:space="preserve">Feb</t>
  </si>
  <si>
    <t xml:space="preserve">Mar</t>
  </si>
  <si>
    <t xml:space="preserve">TC-XLSX-013..016/024/025  Merge, rotation, rich text, theme, borders</t>
  </si>
  <si>
    <t xml:space="preserve">TC-013 Centred across merge A3:D3</t>
  </si>
  <si>
    <t xml:space="preserve">rot90</t>
  </si>
  <si>
    <t xml:space="preserve">rot45</t>
  </si>
  <si>
    <t xml:space="preserve">stacked</t>
  </si>
  <si>
    <t xml:space="preserve">indent3</t>
  </si>
  <si>
    <r>
      <rPr>
        <b val="true"/>
        <sz val="11"/>
        <color rgb="FFB85042"/>
        <rFont val="Cambria"/>
        <family val="0"/>
        <charset val="1"/>
      </rPr>
      <t xml:space="preserve">Bold red </t>
    </r>
    <r>
      <rPr>
        <i val="true"/>
        <sz val="11"/>
        <color rgb="FF1C7293"/>
        <rFont val="Cambria"/>
        <family val="0"/>
        <charset val="1"/>
      </rPr>
      <t xml:space="preserve">italic teal </t>
    </r>
    <r>
      <rPr>
        <u val="single"/>
        <sz val="11"/>
        <rFont val="Cambria"/>
        <family val="0"/>
        <charset val="1"/>
      </rPr>
      <t xml:space="preserve">underlined</t>
    </r>
  </si>
  <si>
    <t xml:space="preserve">theme=4 tint=0.4</t>
  </si>
  <si>
    <t xml:space="preserve">diag</t>
  </si>
  <si>
    <t xml:space="preserve">theme=4 tint=-0.25</t>
  </si>
  <si>
    <t xml:space="preserve">TC-XLSX-017..018  Combo+secondary axis, scatter</t>
  </si>
  <si>
    <t xml:space="preserve">Month</t>
  </si>
  <si>
    <t xml:space="preserve">Revenue</t>
  </si>
  <si>
    <t xml:space="preserve">Margin%</t>
  </si>
  <si>
    <t xml:space="preserve">Apr</t>
  </si>
  <si>
    <t xml:space="preserve">May</t>
  </si>
  <si>
    <t xml:space="preserve">TC-XLSX-020/021/023/027/028  Validation, names, comments, outline, print</t>
  </si>
  <si>
    <t xml:space="preserve">TC-020 pick -&gt;</t>
  </si>
  <si>
    <t xml:space="preserve">TC-023 comment -&gt;</t>
  </si>
  <si>
    <t xml:space="preserve">see note</t>
  </si>
  <si>
    <t xml:space="preserve">detail 1</t>
  </si>
  <si>
    <t xml:space="preserve">detail 2</t>
  </si>
  <si>
    <t xml:space="preserve">detail 3</t>
  </si>
  <si>
    <t xml:space="preserve">detail 4</t>
  </si>
  <si>
    <t xml:space="preserve">detail 5</t>
  </si>
  <si>
    <t xml:space="preserve">detail 6</t>
  </si>
  <si>
    <t xml:space="preserve">SUBTOTAL (ignores hidden)</t>
  </si>
  <si>
    <t xml:space="preserve">TaxRate (named)</t>
  </si>
  <si>
    <t xml:space="preserve">use name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</si>
</sst>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[RED]\(#,##0.00\);\-;&quot;txt: &quot;@"/>
    <numFmt numFmtId="166" formatCode="_(\$* #,##0.00_);_(\$* \(#,##0.00\);_(\$* \-??_);_(@_)"/>
    <numFmt numFmtId="167" formatCode="# ??/??"/>
    <numFmt numFmtId="168" formatCode="0.00E+00"/>
    <numFmt numFmtId="169" formatCode="[$-409]mmmm\ d&quot;, &quot;yyyy"/>
    <numFmt numFmtId="170" formatCode="[h]:mm:ss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129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B85042"/>
      <name val="Cambria"/>
      <family val="0"/>
      <charset val="1"/>
    </font>
    <font>
      <i val="true"/>
      <sz val="11"/>
      <color rgb="FF1C7293"/>
      <name val="Cambria"/>
      <family val="0"/>
      <charset val="1"/>
    </font>
    <font>
      <u val="singl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295C"/>
        <bgColor rgb="FF003366"/>
      </patternFill>
    </fill>
    <fill>
      <patternFill patternType="solid">
        <fgColor rgb="FFCADCFC"/>
        <bgColor rgb="FFD9D9D9"/>
      </patternFill>
    </fill>
    <fill>
      <patternFill patternType="solid">
        <fgColor theme="4" tint="0.4"/>
        <bgColor rgb="FFA7BEAE"/>
      </patternFill>
    </fill>
    <fill>
      <patternFill patternType="solid">
        <fgColor theme="4" tint="-0.25"/>
        <bgColor rgb="FF1C7293"/>
      </patternFill>
    </fill>
  </fills>
  <borders count="2">
    <border diagonalUp="false" diagonalDown="false">
      <left/>
      <right/>
      <top/>
      <bottom/>
      <diagonal/>
    </border>
    <border diagonalUp="true" diagonalDown="true">
      <left style="thick">
        <color rgb="FF2F3C7E"/>
      </left>
      <right style="thick">
        <color rgb="FF2F3C7E"/>
      </right>
      <top style="thick">
        <color rgb="FF2F3C7E"/>
      </top>
      <bottom style="thick">
        <color rgb="FF2F3C7E"/>
      </bottom>
      <diagonal style="medium">
        <color rgb="FFB85042"/>
      </diagonal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45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255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3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7E8D1"/>
        </patternFill>
      </fill>
    </dxf>
    <dxf>
      <fill>
        <patternFill>
          <bgColor rgb="FFA7BEA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A7BEAE"/>
      <rgbColor rgb="FF878787"/>
      <rgbColor rgb="FF9999FF"/>
      <rgbColor rgb="FFBE4B48"/>
      <rgbColor rgb="FFE7E8D1"/>
      <rgbColor rgb="FFCCFF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5B3D7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4F81BD"/>
      <rgbColor rgb="FF003300"/>
      <rgbColor rgb="FF333300"/>
      <rgbColor rgb="FF993300"/>
      <rgbColor rgb="FFB85042"/>
      <rgbColor rgb="FF2F3C7E"/>
      <rgbColor rgb="FF2129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Combo: Revenue (bars) + Margin (line, 2nd axis)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5"/>
                <c:pt idx="0">
                  <c:v>120</c:v>
                </c:pt>
                <c:pt idx="1">
                  <c:v>150</c:v>
                </c:pt>
                <c:pt idx="2">
                  <c:v>170</c:v>
                </c:pt>
                <c:pt idx="3">
                  <c:v>140</c:v>
                </c:pt>
                <c:pt idx="4">
                  <c:v>190</c:v>
                </c:pt>
              </c:numCache>
            </c:numRef>
          </c:val>
        </c:ser>
        <c:gapWidth val="150"/>
        <c:overlap val="0"/>
        <c:axId val="40889920"/>
        <c:axId val="56505401"/>
      </c:barChart>
      <c:lineChart>
        <c:grouping val="standard"/>
        <c:varyColors val="0"/>
        <c:ser>
          <c:idx val="1"/>
          <c:order val="1"/>
          <c:tx>
            <c:strRef>
              <c:f>Charts!C3</c:f>
              <c:strCache>
                <c:ptCount val="1"/>
                <c:pt idx="0">
                  <c:v>Margin%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Charts!$C$4:$C$8</c:f>
              <c:numCache>
                <c:formatCode>General</c:formatCode>
                <c:ptCount val="5"/>
                <c:pt idx="0">
                  <c:v>0.12</c:v>
                </c:pt>
                <c:pt idx="1">
                  <c:v>0.18</c:v>
                </c:pt>
                <c:pt idx="2">
                  <c:v>0.21</c:v>
                </c:pt>
                <c:pt idx="3">
                  <c:v>0.15</c:v>
                </c:pt>
                <c:pt idx="4">
                  <c:v>0.24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397362"/>
        <c:axId val="64381518"/>
      </c:lineChart>
      <c:catAx>
        <c:axId val="4088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05401"/>
        <c:crosses val="autoZero"/>
        <c:auto val="1"/>
        <c:lblAlgn val="ctr"/>
        <c:lblOffset val="100"/>
        <c:noMultiLvlLbl val="0"/>
      </c:catAx>
      <c:valAx>
        <c:axId val="56505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89920"/>
        <c:crosses val="autoZero"/>
        <c:crossBetween val="between"/>
      </c:valAx>
      <c:catAx>
        <c:axId val="1539736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81518"/>
        <c:crosses val="autoZero"/>
        <c:auto val="1"/>
        <c:lblAlgn val="ctr"/>
        <c:lblOffset val="100"/>
        <c:noMultiLvlLbl val="0"/>
      </c:catAx>
      <c:valAx>
        <c:axId val="6438151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9736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TC-018 XY scatter (log-ish)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"y=x^2"</c:f>
              <c:strCache>
                <c:ptCount val="1"/>
                <c:pt idx="0">
                  <c:v>y=x^2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Charts!$H$4:$H$8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Charts!$I$4:$I$8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</c:numCache>
            </c:numRef>
          </c:yVal>
          <c:smooth val="1"/>
        </c:ser>
        <c:axId val="47860204"/>
        <c:axId val="18387394"/>
      </c:scatterChart>
      <c:valAx>
        <c:axId val="478602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87394"/>
        <c:crosses val="autoZero"/>
        <c:crossBetween val="midCat"/>
      </c:valAx>
      <c:valAx>
        <c:axId val="18387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6020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175680</xdr:rowOff>
    </xdr:from>
    <xdr:to>
      <xdr:col>12</xdr:col>
      <xdr:colOff>507600</xdr:colOff>
      <xdr:row>16</xdr:row>
      <xdr:rowOff>18000</xdr:rowOff>
    </xdr:to>
    <xdr:graphicFrame>
      <xdr:nvGraphicFramePr>
        <xdr:cNvPr id="0" name="Chart 1"/>
        <xdr:cNvGraphicFramePr/>
      </xdr:nvGraphicFramePr>
      <xdr:xfrm>
        <a:off x="244620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175680</xdr:rowOff>
    </xdr:from>
    <xdr:to>
      <xdr:col>12</xdr:col>
      <xdr:colOff>507600</xdr:colOff>
      <xdr:row>33</xdr:row>
      <xdr:rowOff>18000</xdr:rowOff>
    </xdr:to>
    <xdr:graphicFrame>
      <xdr:nvGraphicFramePr>
        <xdr:cNvPr id="1" name="Chart 2"/>
        <xdr:cNvGraphicFramePr/>
      </xdr:nvGraphicFramePr>
      <xdr:xfrm>
        <a:off x="244620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3" style="0" width="20"/>
    <col collapsed="false" customWidth="true" hidden="false" outlineLevel="0" max="4" min="4" style="0" width="4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0" t="s">
        <v>5</v>
      </c>
      <c r="B4" s="0" t="n">
        <v>1234.5</v>
      </c>
      <c r="C4" s="3" t="n">
        <v>1234.5</v>
      </c>
      <c r="D4" s="4" t="s">
        <v>6</v>
      </c>
    </row>
    <row r="5" customFormat="false" ht="15" hidden="false" customHeight="false" outlineLevel="0" collapsed="false">
      <c r="A5" s="0" t="s">
        <v>7</v>
      </c>
      <c r="B5" s="0" t="n">
        <v>-1234.5</v>
      </c>
      <c r="C5" s="3" t="n">
        <v>-1234.5</v>
      </c>
      <c r="D5" s="4" t="s">
        <v>6</v>
      </c>
    </row>
    <row r="6" customFormat="false" ht="15" hidden="false" customHeight="false" outlineLevel="0" collapsed="false">
      <c r="A6" s="0" t="s">
        <v>8</v>
      </c>
      <c r="B6" s="0" t="n">
        <v>0</v>
      </c>
      <c r="C6" s="3" t="n">
        <v>0</v>
      </c>
      <c r="D6" s="4" t="s">
        <v>6</v>
      </c>
    </row>
    <row r="7" customFormat="false" ht="15" hidden="false" customHeight="false" outlineLevel="0" collapsed="false">
      <c r="A7" s="0" t="s">
        <v>9</v>
      </c>
      <c r="B7" s="0" t="n">
        <v>1234.5</v>
      </c>
      <c r="C7" s="5" t="n">
        <v>1234.5</v>
      </c>
      <c r="D7" s="4" t="s">
        <v>10</v>
      </c>
    </row>
    <row r="8" customFormat="false" ht="15" hidden="false" customHeight="false" outlineLevel="0" collapsed="false">
      <c r="A8" s="0" t="s">
        <v>11</v>
      </c>
      <c r="B8" s="0" t="n">
        <v>-98.7</v>
      </c>
      <c r="C8" s="5" t="n">
        <v>-98.7</v>
      </c>
      <c r="D8" s="4" t="s">
        <v>10</v>
      </c>
    </row>
    <row r="9" customFormat="false" ht="15" hidden="false" customHeight="false" outlineLevel="0" collapsed="false">
      <c r="A9" s="0" t="s">
        <v>12</v>
      </c>
      <c r="B9" s="0" t="n">
        <v>3.141592</v>
      </c>
      <c r="C9" s="6" t="n">
        <v>3.141592</v>
      </c>
      <c r="D9" s="4" t="s">
        <v>13</v>
      </c>
    </row>
    <row r="10" customFormat="false" ht="15" hidden="false" customHeight="false" outlineLevel="0" collapsed="false">
      <c r="A10" s="0" t="s">
        <v>14</v>
      </c>
      <c r="B10" s="0" t="n">
        <v>12345.678</v>
      </c>
      <c r="C10" s="7" t="n">
        <v>12345.678</v>
      </c>
      <c r="D10" s="4" t="s">
        <v>15</v>
      </c>
    </row>
    <row r="11" customFormat="false" ht="15" hidden="false" customHeight="false" outlineLevel="0" collapsed="false">
      <c r="A11" s="0" t="s">
        <v>16</v>
      </c>
      <c r="B11" s="0" t="n">
        <v>45843</v>
      </c>
      <c r="C11" s="8" t="n">
        <v>45843</v>
      </c>
      <c r="D11" s="4" t="s">
        <v>17</v>
      </c>
    </row>
    <row r="12" customFormat="false" ht="15" hidden="false" customHeight="false" outlineLevel="0" collapsed="false">
      <c r="A12" s="0" t="s">
        <v>18</v>
      </c>
      <c r="B12" s="0" t="n">
        <v>1.53472</v>
      </c>
      <c r="C12" s="9" t="n">
        <v>1.53472</v>
      </c>
      <c r="D12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3" style="0" width="16"/>
    <col collapsed="false" customWidth="true" hidden="false" outlineLevel="0" max="5" min="5" style="0" width="14"/>
    <col collapsed="false" customWidth="true" hidden="false" outlineLevel="0" max="7" min="7" style="0" width="20"/>
  </cols>
  <sheetData>
    <row r="1" customFormat="false" ht="16.15" hidden="false" customHeight="false" outlineLevel="0" collapsed="false">
      <c r="A1" s="1" t="s">
        <v>20</v>
      </c>
    </row>
    <row r="3" customFormat="false" ht="15" hidden="false" customHeight="false" outlineLevel="0" collapsed="false">
      <c r="A3" s="10" t="s">
        <v>21</v>
      </c>
      <c r="C3" s="10" t="s">
        <v>22</v>
      </c>
      <c r="E3" s="10" t="s">
        <v>23</v>
      </c>
      <c r="G3" s="10" t="s">
        <v>24</v>
      </c>
    </row>
    <row r="4" customFormat="false" ht="15" hidden="false" customHeight="false" outlineLevel="0" collapsed="false">
      <c r="A4" s="0" t="n">
        <v>41</v>
      </c>
      <c r="C4" s="0" t="n">
        <v>-31</v>
      </c>
      <c r="E4" s="0" t="n">
        <v>50</v>
      </c>
      <c r="G4" s="0" t="n">
        <v>84</v>
      </c>
    </row>
    <row r="5" customFormat="false" ht="15" hidden="false" customHeight="false" outlineLevel="0" collapsed="false">
      <c r="A5" s="0" t="n">
        <v>6</v>
      </c>
      <c r="C5" s="0" t="n">
        <v>-41</v>
      </c>
      <c r="E5" s="0" t="n">
        <v>68</v>
      </c>
      <c r="G5" s="0" t="n">
        <v>13</v>
      </c>
    </row>
    <row r="6" customFormat="false" ht="15" hidden="false" customHeight="false" outlineLevel="0" collapsed="false">
      <c r="A6" s="0" t="n">
        <v>46</v>
      </c>
      <c r="C6" s="0" t="n">
        <v>24</v>
      </c>
      <c r="E6" s="0" t="n">
        <v>7</v>
      </c>
      <c r="G6" s="0" t="n">
        <v>65</v>
      </c>
    </row>
    <row r="7" customFormat="false" ht="15" hidden="false" customHeight="false" outlineLevel="0" collapsed="false">
      <c r="A7" s="0" t="n">
        <v>27</v>
      </c>
      <c r="C7" s="0" t="n">
        <v>-46</v>
      </c>
      <c r="E7" s="0" t="n">
        <v>11</v>
      </c>
      <c r="G7" s="0" t="n">
        <v>56</v>
      </c>
    </row>
    <row r="8" customFormat="false" ht="15" hidden="false" customHeight="false" outlineLevel="0" collapsed="false">
      <c r="A8" s="0" t="n">
        <v>53</v>
      </c>
      <c r="C8" s="0" t="n">
        <v>-42</v>
      </c>
      <c r="E8" s="0" t="n">
        <v>30</v>
      </c>
      <c r="G8" s="0" t="n">
        <v>12</v>
      </c>
    </row>
    <row r="9" customFormat="false" ht="15" hidden="false" customHeight="false" outlineLevel="0" collapsed="false">
      <c r="A9" s="0" t="n">
        <v>70</v>
      </c>
      <c r="C9" s="0" t="n">
        <v>4</v>
      </c>
      <c r="E9" s="0" t="n">
        <v>7</v>
      </c>
      <c r="G9" s="0" t="n">
        <v>73</v>
      </c>
    </row>
    <row r="10" customFormat="false" ht="15" hidden="false" customHeight="false" outlineLevel="0" collapsed="false">
      <c r="A10" s="0" t="n">
        <v>15</v>
      </c>
      <c r="C10" s="0" t="n">
        <v>-22</v>
      </c>
      <c r="E10" s="0" t="n">
        <v>80</v>
      </c>
      <c r="G10" s="0" t="n">
        <v>81</v>
      </c>
    </row>
    <row r="11" customFormat="false" ht="15" hidden="false" customHeight="false" outlineLevel="0" collapsed="false">
      <c r="A11" s="0" t="n">
        <v>74</v>
      </c>
      <c r="C11" s="0" t="n">
        <v>-43</v>
      </c>
      <c r="E11" s="0" t="n">
        <v>73</v>
      </c>
      <c r="G11" s="0" t="n">
        <v>75</v>
      </c>
    </row>
    <row r="12" customFormat="false" ht="15" hidden="false" customHeight="false" outlineLevel="0" collapsed="false">
      <c r="A12" s="0" t="n">
        <v>50</v>
      </c>
      <c r="C12" s="0" t="n">
        <v>-44</v>
      </c>
      <c r="E12" s="0" t="n">
        <v>28</v>
      </c>
      <c r="G12" s="0" t="n">
        <v>6</v>
      </c>
    </row>
    <row r="13" customFormat="false" ht="15" hidden="false" customHeight="false" outlineLevel="0" collapsed="false">
      <c r="A13" s="0" t="n">
        <v>71</v>
      </c>
      <c r="C13" s="0" t="n">
        <v>-33</v>
      </c>
      <c r="E13" s="0" t="n">
        <v>37</v>
      </c>
      <c r="G13" s="0" t="n">
        <v>54</v>
      </c>
    </row>
    <row r="14" customFormat="false" ht="15" hidden="false" customHeight="false" outlineLevel="0" collapsed="false">
      <c r="A14" s="0" t="n">
        <v>18</v>
      </c>
      <c r="C14" s="0" t="n">
        <v>19</v>
      </c>
      <c r="E14" s="0" t="n">
        <v>15</v>
      </c>
      <c r="G14" s="0" t="n">
        <v>74</v>
      </c>
    </row>
    <row r="15" customFormat="false" ht="15" hidden="false" customHeight="false" outlineLevel="0" collapsed="false">
      <c r="A15" s="0" t="n">
        <v>39</v>
      </c>
      <c r="C15" s="0" t="n">
        <v>21</v>
      </c>
      <c r="E15" s="0" t="n">
        <v>87</v>
      </c>
      <c r="G15" s="0" t="n">
        <v>24</v>
      </c>
    </row>
  </sheetData>
  <conditionalFormatting sqref="A4:A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4:C15"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{9F4E60DE-8C69-4C8C-BB4F-1EB59CFCE7C3}</x14:id>
        </ext>
      </extLst>
    </cfRule>
  </conditionalFormatting>
  <conditionalFormatting sqref="E4:E15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4:G15">
    <cfRule type="expression" priority="5" aboveAverage="0" equalAverage="0" bottom="0" percent="0" rank="0" text="" dxfId="0">
      <formula>MOD(ROW(),2)=0</formula>
    </cfRule>
    <cfRule type="cellIs" priority="6" operator="greaterThan" aboveAverage="0" equalAverage="0" bottom="0" percent="0" rank="0" text="" dxfId="1">
      <formula>50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4E60DE-8C69-4C8C-BB4F-1EB59CFCE7C3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C4:C15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4" style="0" width="30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" t="s">
        <v>25</v>
      </c>
    </row>
    <row r="3" customFormat="false" ht="15" hidden="false" customHeight="false" outlineLevel="0" collapsed="false">
      <c r="A3" s="0" t="s">
        <v>26</v>
      </c>
      <c r="B3" s="0">
        <f aca="false">SEQUENCE(3,2)</f>
        <v>1</v>
      </c>
    </row>
    <row r="5" customFormat="false" ht="15" hidden="false" customHeight="false" outlineLevel="0" collapsed="false">
      <c r="A5" s="0" t="s">
        <v>27</v>
      </c>
      <c r="B5" s="0">
        <f aca="false">SORT(UNIQUE({3;1;2;1;3}))</f>
        <v>1</v>
      </c>
    </row>
    <row r="8" customFormat="false" ht="15" hidden="false" customHeight="false" outlineLevel="0" collapsed="false">
      <c r="A8" s="0" t="s">
        <v>28</v>
      </c>
      <c r="B8" s="0">
        <f aca="false">FILTER({10;20;30;40},{10;20;30;40}&gt;15)</f>
        <v>20</v>
      </c>
    </row>
    <row r="11" customFormat="false" ht="15" hidden="false" customHeight="false" outlineLevel="0" collapsed="false">
      <c r="D11" s="0" t="s">
        <v>29</v>
      </c>
    </row>
    <row r="12" customFormat="false" ht="15" hidden="false" customHeight="false" outlineLevel="0" collapsed="false">
      <c r="A12" s="0" t="n">
        <v>2</v>
      </c>
      <c r="B12" s="0" t="n">
        <v>20</v>
      </c>
      <c r="D12" s="0">
        <f t="array" ref="D12" aca="false">SUM(A12:A14*B12:B14)</f>
        <v>290</v>
      </c>
    </row>
    <row r="13" customFormat="false" ht="15" hidden="false" customHeight="false" outlineLevel="0" collapsed="false">
      <c r="A13" s="0" t="n">
        <v>3</v>
      </c>
      <c r="B13" s="0" t="n">
        <v>30</v>
      </c>
      <c r="D13" s="0" t="s">
        <v>30</v>
      </c>
      <c r="E13" s="0">
        <f aca="false">XLOOKUP(3,A12:A14,B12:B14)</f>
        <v>30</v>
      </c>
    </row>
    <row r="14" customFormat="false" ht="15" hidden="false" customHeight="false" outlineLevel="0" collapsed="false">
      <c r="A14" s="0" t="n">
        <v>4</v>
      </c>
      <c r="B14" s="0" t="n">
        <v>40</v>
      </c>
      <c r="D14" s="0" t="s">
        <v>31</v>
      </c>
      <c r="E14" s="0">
        <f aca="false">LET(x,5,y,7,x*y)</f>
        <v>35</v>
      </c>
    </row>
    <row r="15" customFormat="false" ht="15" hidden="false" customHeight="false" outlineLevel="0" collapsed="false">
      <c r="D15" s="0" t="s">
        <v>32</v>
      </c>
      <c r="E15" s="0" t="str">
        <f aca="false">TEXTJOIN("-",TRUE,A12:A14)</f>
        <v>2-3-4</v>
      </c>
    </row>
    <row r="16" customFormat="false" ht="15" hidden="false" customHeight="false" outlineLevel="0" collapsed="false">
      <c r="D16" s="0" t="s">
        <v>33</v>
      </c>
      <c r="E16" s="0" t="str">
        <f aca="false">IFS(A12&gt;3,"hi",TRUE,"lo")</f>
        <v>lo</v>
      </c>
    </row>
    <row r="17" customFormat="false" ht="15" hidden="false" customHeight="false" outlineLevel="0" collapsed="false">
      <c r="D17" s="0" t="s">
        <v>34</v>
      </c>
      <c r="E17" s="0" t="n">
        <f aca="false">SUM(Jan:Mar!B2)</f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0" t="s">
        <v>35</v>
      </c>
      <c r="B2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0" t="s">
        <v>36</v>
      </c>
      <c r="B2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0" t="s">
        <v>37</v>
      </c>
      <c r="B2" s="0" t="n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6.15" hidden="false" customHeight="false" outlineLevel="0" collapsed="false">
      <c r="A1" s="1" t="s">
        <v>38</v>
      </c>
    </row>
    <row r="3" customFormat="false" ht="15" hidden="false" customHeight="false" outlineLevel="0" collapsed="false">
      <c r="A3" s="11" t="s">
        <v>39</v>
      </c>
      <c r="B3" s="11"/>
      <c r="C3" s="11"/>
      <c r="D3" s="11"/>
    </row>
    <row r="5" customFormat="false" ht="79.5" hidden="false" customHeight="true" outlineLevel="0" collapsed="false">
      <c r="A5" s="12" t="s">
        <v>40</v>
      </c>
      <c r="B5" s="13" t="s">
        <v>41</v>
      </c>
      <c r="C5" s="14" t="s">
        <v>42</v>
      </c>
      <c r="D5" s="15" t="s">
        <v>43</v>
      </c>
    </row>
    <row r="7" customFormat="false" ht="28.35" hidden="false" customHeight="false" outlineLevel="0" collapsed="false">
      <c r="A7" s="16" t="s">
        <v>44</v>
      </c>
    </row>
    <row r="9" customFormat="false" ht="15" hidden="false" customHeight="false" outlineLevel="0" collapsed="false">
      <c r="A9" s="17" t="s">
        <v>45</v>
      </c>
      <c r="C9" s="18" t="s">
        <v>46</v>
      </c>
    </row>
    <row r="10" customFormat="false" ht="15" hidden="false" customHeight="false" outlineLevel="0" collapsed="false">
      <c r="A10" s="19" t="s">
        <v>47</v>
      </c>
    </row>
  </sheetData>
  <mergeCells count="1"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48</v>
      </c>
    </row>
    <row r="3" customFormat="false" ht="15" hidden="false" customHeight="false" outlineLevel="0" collapsed="false">
      <c r="A3" s="0" t="s">
        <v>49</v>
      </c>
      <c r="B3" s="0" t="s">
        <v>50</v>
      </c>
      <c r="C3" s="0" t="s">
        <v>51</v>
      </c>
    </row>
    <row r="4" customFormat="false" ht="15" hidden="false" customHeight="false" outlineLevel="0" collapsed="false">
      <c r="A4" s="0" t="s">
        <v>35</v>
      </c>
      <c r="B4" s="0" t="n">
        <v>120</v>
      </c>
      <c r="C4" s="0" t="n">
        <v>0.12</v>
      </c>
      <c r="H4" s="0" t="n">
        <v>1</v>
      </c>
      <c r="I4" s="0" t="n">
        <v>1</v>
      </c>
    </row>
    <row r="5" customFormat="false" ht="15" hidden="false" customHeight="false" outlineLevel="0" collapsed="false">
      <c r="A5" s="0" t="s">
        <v>36</v>
      </c>
      <c r="B5" s="0" t="n">
        <v>150</v>
      </c>
      <c r="C5" s="0" t="n">
        <v>0.18</v>
      </c>
      <c r="H5" s="0" t="n">
        <v>2</v>
      </c>
      <c r="I5" s="0" t="n">
        <v>4</v>
      </c>
    </row>
    <row r="6" customFormat="false" ht="15" hidden="false" customHeight="false" outlineLevel="0" collapsed="false">
      <c r="A6" s="0" t="s">
        <v>37</v>
      </c>
      <c r="B6" s="0" t="n">
        <v>170</v>
      </c>
      <c r="C6" s="0" t="n">
        <v>0.21</v>
      </c>
      <c r="H6" s="0" t="n">
        <v>3</v>
      </c>
      <c r="I6" s="0" t="n">
        <v>9</v>
      </c>
    </row>
    <row r="7" customFormat="false" ht="15" hidden="false" customHeight="false" outlineLevel="0" collapsed="false">
      <c r="A7" s="0" t="s">
        <v>52</v>
      </c>
      <c r="B7" s="0" t="n">
        <v>140</v>
      </c>
      <c r="C7" s="0" t="n">
        <v>0.15</v>
      </c>
      <c r="H7" s="0" t="n">
        <v>4</v>
      </c>
      <c r="I7" s="0" t="n">
        <v>16</v>
      </c>
    </row>
    <row r="8" customFormat="false" ht="15" hidden="false" customHeight="false" outlineLevel="0" collapsed="false">
      <c r="A8" s="0" t="s">
        <v>53</v>
      </c>
      <c r="B8" s="0" t="n">
        <v>190</v>
      </c>
      <c r="C8" s="0" t="n">
        <v>0.24</v>
      </c>
      <c r="H8" s="0" t="n">
        <v>5</v>
      </c>
      <c r="I8" s="0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8"/>
  </cols>
  <sheetData>
    <row r="1" customFormat="false" ht="16.15" hidden="false" customHeight="false" outlineLevel="0" collapsed="false">
      <c r="A1" s="1" t="s">
        <v>54</v>
      </c>
    </row>
    <row r="3" customFormat="false" ht="15" hidden="false" customHeight="false" outlineLevel="0" collapsed="false">
      <c r="A3" s="0" t="s">
        <v>55</v>
      </c>
    </row>
    <row r="5" customFormat="false" ht="15" hidden="false" customHeight="false" outlineLevel="0" collapsed="false">
      <c r="A5" s="0" t="s">
        <v>56</v>
      </c>
      <c r="B5" s="0" t="s">
        <v>57</v>
      </c>
    </row>
    <row r="8" customFormat="false" ht="15" hidden="false" customHeight="false" outlineLevel="1" collapsed="false">
      <c r="A8" s="0" t="s">
        <v>58</v>
      </c>
      <c r="B8" s="0" t="n">
        <v>10</v>
      </c>
    </row>
    <row r="9" customFormat="false" ht="15" hidden="false" customHeight="false" outlineLevel="1" collapsed="false">
      <c r="A9" s="0" t="s">
        <v>59</v>
      </c>
      <c r="B9" s="0" t="n">
        <v>20</v>
      </c>
    </row>
    <row r="10" customFormat="false" ht="15" hidden="false" customHeight="false" outlineLevel="1" collapsed="false">
      <c r="A10" s="0" t="s">
        <v>60</v>
      </c>
      <c r="B10" s="0" t="n">
        <v>30</v>
      </c>
    </row>
    <row r="11" customFormat="false" ht="15" hidden="false" customHeight="false" outlineLevel="1" collapsed="false">
      <c r="A11" s="0" t="s">
        <v>61</v>
      </c>
      <c r="B11" s="0" t="n">
        <v>40</v>
      </c>
    </row>
    <row r="12" customFormat="false" ht="15" hidden="false" customHeight="false" outlineLevel="1" collapsed="false">
      <c r="A12" s="0" t="s">
        <v>62</v>
      </c>
      <c r="B12" s="0" t="n">
        <v>50</v>
      </c>
    </row>
    <row r="13" customFormat="false" ht="15" hidden="false" customHeight="false" outlineLevel="1" collapsed="false">
      <c r="A13" s="0" t="s">
        <v>63</v>
      </c>
      <c r="B13" s="0" t="n">
        <v>60</v>
      </c>
    </row>
    <row r="14" customFormat="false" ht="15" hidden="false" customHeight="false" outlineLevel="0" collapsed="false">
      <c r="A14" s="0" t="s">
        <v>64</v>
      </c>
      <c r="B14" s="0" t="n">
        <f aca="false">SUBTOTAL(109,B8:B13)</f>
        <v>210</v>
      </c>
    </row>
    <row r="16" customFormat="false" ht="15" hidden="false" customHeight="false" outlineLevel="0" collapsed="false">
      <c r="A16" s="0" t="s">
        <v>65</v>
      </c>
      <c r="B16" s="0" t="n">
        <v>0.085</v>
      </c>
    </row>
    <row r="17" customFormat="false" ht="15" hidden="false" customHeight="false" outlineLevel="0" collapsed="false">
      <c r="A17" s="0" t="s">
        <v>66</v>
      </c>
      <c r="B17" s="0" t="n">
        <f aca="false">B14*TaxRate</f>
        <v>17.85</v>
      </c>
    </row>
  </sheetData>
  <dataValidations count="1">
    <dataValidation allowBlank="true" error="Choose from list" errorStyle="stop" errorTitle="Invalid" operator="between" prompt="Pick one" promptTitle="Choice" showDropDown="false" showErrorMessage="false" showInputMessage="false" sqref="B3" type="list">
      <formula1>"Alpha,Beta,Gamma"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2026-06-17T03:15:51Z</dcterms:created>
  <dc:creator>openpyxl</dc:creator>
  <dc:description/>
  <dc:language>en-US</dc:language>
  <cp:lastModifiedBy/>
  <dcterms:modified xsi:type="dcterms:W3CDTF">2026-06-17T03:15:53Z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